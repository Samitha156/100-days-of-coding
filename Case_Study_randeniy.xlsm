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New folder (10)\"/>
    </mc:Choice>
  </mc:AlternateContent>
  <xr:revisionPtr revIDLastSave="0" documentId="8_{E75B534F-BA2A-4CEF-BB4C-582ED3B1C2E0}" xr6:coauthVersionLast="46" xr6:coauthVersionMax="46" xr10:uidLastSave="{00000000-0000-0000-0000-000000000000}"/>
  <bookViews>
    <workbookView xWindow="20370" yWindow="-2745" windowWidth="29040" windowHeight="15840" activeTab="2" xr2:uid="{00000000-000D-0000-FFFF-FFFF00000000}"/>
  </bookViews>
  <sheets>
    <sheet name="Instructions" sheetId="3" r:id="rId1"/>
    <sheet name="pivot" sheetId="9" r:id="rId2"/>
    <sheet name="Case Study" sheetId="1" r:id="rId3"/>
    <sheet name="Roster" sheetId="2" r:id="rId4"/>
    <sheet name="Bonus 1" sheetId="4" state="hidden" r:id="rId5"/>
    <sheet name="Bonus 2" sheetId="6" state="veryHidden" r:id="rId6"/>
  </sheets>
  <definedNames>
    <definedName name="_xlnm._FilterDatabase" localSheetId="3" hidden="1">Roster!$A$1:$J$70</definedName>
  </definedNames>
  <calcPr calcId="181029"/>
  <pivotCaches>
    <pivotCache cacheId="6" r:id="rId7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7" i="1" l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2" i="1"/>
  <c r="B3" i="1"/>
  <c r="B4" i="1"/>
  <c r="B5" i="1"/>
  <c r="B6" i="1"/>
  <c r="B7" i="1"/>
  <c r="B8" i="1"/>
  <c r="B9" i="1"/>
  <c r="B10" i="1"/>
  <c r="B11" i="1"/>
  <c r="B12" i="1"/>
  <c r="B13" i="1"/>
  <c r="B14" i="1"/>
  <c r="B2" i="1"/>
  <c r="G3" i="1"/>
  <c r="G4" i="1"/>
  <c r="G5" i="1"/>
  <c r="G6" i="1"/>
  <c r="G7" i="1"/>
  <c r="G8" i="1"/>
  <c r="G9" i="1"/>
  <c r="G10" i="1"/>
  <c r="G11" i="1"/>
  <c r="G12" i="1"/>
  <c r="G13" i="1"/>
  <c r="G14" i="1"/>
  <c r="G2" i="1"/>
</calcChain>
</file>

<file path=xl/sharedStrings.xml><?xml version="1.0" encoding="utf-8"?>
<sst xmlns="http://schemas.openxmlformats.org/spreadsheetml/2006/main" count="358" uniqueCount="198">
  <si>
    <t>Associate Login</t>
  </si>
  <si>
    <t>Hours Worked</t>
  </si>
  <si>
    <t>Units Processed</t>
  </si>
  <si>
    <t>Employee ID</t>
  </si>
  <si>
    <t>User ID</t>
  </si>
  <si>
    <t>Employee Name</t>
  </si>
  <si>
    <t>Badge Barcode ID</t>
  </si>
  <si>
    <t>Department ID</t>
  </si>
  <si>
    <t>Employment Start Date</t>
  </si>
  <si>
    <t>Employment Type</t>
  </si>
  <si>
    <t>Employee Status</t>
  </si>
  <si>
    <t>Manager Name</t>
  </si>
  <si>
    <t>Shift Pattern</t>
  </si>
  <si>
    <t>AMZN</t>
  </si>
  <si>
    <t>Active</t>
  </si>
  <si>
    <t>Mon May 20 00:00:00 UTC 2019</t>
  </si>
  <si>
    <t>Sun Jun 09 00:00:00 UTC 2019</t>
  </si>
  <si>
    <t>Mon Jan 06 00:00:00 UTC 2020</t>
  </si>
  <si>
    <t>Mon Nov 11 00:00:00 UTC 2019</t>
  </si>
  <si>
    <t>tigher</t>
  </si>
  <si>
    <t>Mon Oct 26 00:00:00 UTC 2015</t>
  </si>
  <si>
    <t>Mon Jan 23 00:00:00 UTC 2017</t>
  </si>
  <si>
    <t>aljhnn</t>
  </si>
  <si>
    <t>Mon Oct 14 00:00:00 UTC 2019</t>
  </si>
  <si>
    <t>Mon Jun 08 00:00:00 UTC 2015</t>
  </si>
  <si>
    <t>whimzn</t>
  </si>
  <si>
    <t>Tue Aug 22 00:00:00 UTC 2017</t>
  </si>
  <si>
    <t>Mon Feb 10 00:00:00 UTC 2020</t>
  </si>
  <si>
    <t>Sun May 28 00:00:00 UTC 2017</t>
  </si>
  <si>
    <t>Mon Nov 04 00:00:00 UTC 2019</t>
  </si>
  <si>
    <t>Mon Jul 15 00:00:00 UTC 2019</t>
  </si>
  <si>
    <t>Wed Nov 01 00:00:00 UTC 2017</t>
  </si>
  <si>
    <t>Mon Mar 30 00:00:00 UTC 2020</t>
  </si>
  <si>
    <t>Mon Mar 23 00:00:00 UTC 2020</t>
  </si>
  <si>
    <t>Sun Feb 07 00:00:00 UTC 2016</t>
  </si>
  <si>
    <t>Mon Sep 22 00:00:00 UTC 2014</t>
  </si>
  <si>
    <t>Sat Sep 02 00:00:00 UTC 2017</t>
  </si>
  <si>
    <t>Mon Oct 16 00:00:00 UTC 2017</t>
  </si>
  <si>
    <t>Sun Jan 25 00:00:00 UTC 2015</t>
  </si>
  <si>
    <t>lhallowe</t>
  </si>
  <si>
    <t>Mon Jul 22 00:00:00 UTC 2019</t>
  </si>
  <si>
    <t>Mon Aug 14 00:00:00 UTC 2017</t>
  </si>
  <si>
    <t>eddelaro</t>
  </si>
  <si>
    <t>Sat Oct 07 00:00:00 UTC 2017</t>
  </si>
  <si>
    <t>Mon Oct 07 00:00:00 UTC 2019</t>
  </si>
  <si>
    <t>Fri Sep 08 00:00:00 UTC 2017</t>
  </si>
  <si>
    <t>Fri May 29 00:00:00 UTC 2015</t>
  </si>
  <si>
    <t>Sun May 24 00:00:00 UTC 2015</t>
  </si>
  <si>
    <t>Mon Aug 28 00:00:00 UTC 2017</t>
  </si>
  <si>
    <t>Mon Jun 12 00:00:00 UTC 2017</t>
  </si>
  <si>
    <t>arushton</t>
  </si>
  <si>
    <t>Sun Apr 24 00:00:00 UTC 2011</t>
  </si>
  <si>
    <t>DA5-0700</t>
  </si>
  <si>
    <t>giovsoto</t>
  </si>
  <si>
    <t>Mon Jan 08 00:00:00 UTC 2018</t>
  </si>
  <si>
    <t>Wed Aug 23 00:00:00 UTC 2017</t>
  </si>
  <si>
    <t>Mon Jun 05 00:00:00 UTC 2017</t>
  </si>
  <si>
    <t>arrogrs</t>
  </si>
  <si>
    <t>Mon Jan 07 00:00:00 UTC 2019</t>
  </si>
  <si>
    <t>Mon Aug 26 00:00:00 UTC 2019</t>
  </si>
  <si>
    <t>kamatth</t>
  </si>
  <si>
    <t>whhay</t>
  </si>
  <si>
    <t>sheroly</t>
  </si>
  <si>
    <t>camcarne</t>
  </si>
  <si>
    <t>sikevi</t>
  </si>
  <si>
    <t>skkopeck</t>
  </si>
  <si>
    <t>DA5-0715</t>
  </si>
  <si>
    <t>NA5-1815</t>
  </si>
  <si>
    <t>DA6-0745</t>
  </si>
  <si>
    <t>NA7-1815</t>
  </si>
  <si>
    <t>DB3-0730</t>
  </si>
  <si>
    <t>DC7-0645</t>
  </si>
  <si>
    <t>DA7-0700</t>
  </si>
  <si>
    <t>NA6-1800</t>
  </si>
  <si>
    <t>DC1-0730</t>
  </si>
  <si>
    <t>DC7-0700</t>
  </si>
  <si>
    <t>RT677-4</t>
  </si>
  <si>
    <t>DA5-0745</t>
  </si>
  <si>
    <t>RT685-4</t>
  </si>
  <si>
    <t>RT1370-1</t>
  </si>
  <si>
    <t>NA5-1830</t>
  </si>
  <si>
    <t>RT677-2</t>
  </si>
  <si>
    <t>RT1384-2</t>
  </si>
  <si>
    <t>DA7-0645</t>
  </si>
  <si>
    <t>DA6-0700</t>
  </si>
  <si>
    <t>NA7-1830</t>
  </si>
  <si>
    <t>RT685-2</t>
  </si>
  <si>
    <t>RT678-2</t>
  </si>
  <si>
    <t>NA7-1800</t>
  </si>
  <si>
    <t>DC4-0730</t>
  </si>
  <si>
    <t>DB3-0715</t>
  </si>
  <si>
    <t>NA5-1745</t>
  </si>
  <si>
    <t>NA7-1745</t>
  </si>
  <si>
    <t>DB2-0700</t>
  </si>
  <si>
    <t>DB2-0645</t>
  </si>
  <si>
    <t>NA6-1745</t>
  </si>
  <si>
    <t>DB1-0730</t>
  </si>
  <si>
    <t>NA5-1800</t>
  </si>
  <si>
    <t>NA5-1700</t>
  </si>
  <si>
    <t>DC4T1200</t>
  </si>
  <si>
    <t>NA7-1630</t>
  </si>
  <si>
    <t>Rate</t>
  </si>
  <si>
    <t>Shift Code</t>
  </si>
  <si>
    <t>Points</t>
  </si>
  <si>
    <t>Tasks</t>
  </si>
  <si>
    <t>1) In the case study tab use a formula to calculate the rate in column G for each associate.
Rates are Units divided by Hours</t>
  </si>
  <si>
    <t>2) In the case study tab use a vlookup to input the managers name in column B for each associate using the roster tab as your point of reference.</t>
  </si>
  <si>
    <t>3) In the case study tab use an index match to input the shift code in column C for each associate using the roster tab as your point of reference.</t>
  </si>
  <si>
    <t>4) In the case study tab use an if statement to identify the shift code in column C and state whether they're "Days" or "Nights" in the D column for each associate.</t>
  </si>
  <si>
    <t>5) In the case study tab use columns A through G to create a pivot table in a new tab.
Name the new tab "pivot"
Make the pivot display manager rates
Sort the rates largest to smallest
Filter the pivot table for "Days"</t>
  </si>
  <si>
    <t>Bonus) Find something hidden</t>
  </si>
  <si>
    <t>Nice thinking but I meant a tab</t>
  </si>
  <si>
    <t xml:space="preserve">Great job, you found it! To get your bonus point keep this tab unhidden when you save it.
~~Tip, Google, is a perfectly acceptable reasource for all your excel needs~~
 </t>
  </si>
  <si>
    <t xml:space="preserve">Great job, you found it! To get your bonus point keep this tab unhidden when you save it.
~~Tip, to get an accurate manager average rate in pivot use a calculated field~~
 </t>
  </si>
  <si>
    <r>
      <t>Welcome to the AKC1 Data Analyst case study. In this practical you will have 5 tasks worth 5 points each. Complete to the best of your abilites in the allotted time. Once complete, save it as DA_Case_Study_</t>
    </r>
    <r>
      <rPr>
        <b/>
        <sz val="16"/>
        <color rgb="FFFF0000"/>
        <rFont val="Calibri"/>
        <family val="2"/>
        <scheme val="minor"/>
      </rPr>
      <t>YOURLOGIN</t>
    </r>
    <r>
      <rPr>
        <sz val="16"/>
        <color theme="0"/>
        <rFont val="Calibri"/>
        <family val="2"/>
        <scheme val="minor"/>
      </rPr>
      <t xml:space="preserve"> and email it ambevinc@amazon.com</t>
    </r>
  </si>
  <si>
    <t xml:space="preserve">6) In the coding of the case study tab, a button has been created using VBA to show the sum of the listed hours in F17. Change the coding to move that sum from F17 to I17. ** Be sure to also change the coding for the "clear" button to clear I17 when clicked as well. </t>
  </si>
  <si>
    <t>Elvis Presley</t>
  </si>
  <si>
    <t>Big Bird</t>
  </si>
  <si>
    <t>Jessica Rabbit</t>
  </si>
  <si>
    <t>elvpresl</t>
  </si>
  <si>
    <t>bigbird</t>
  </si>
  <si>
    <t>Elmer Fudd</t>
  </si>
  <si>
    <t>Tony Tiger</t>
  </si>
  <si>
    <t>Captain Crunch</t>
  </si>
  <si>
    <t>captcrun</t>
  </si>
  <si>
    <t>Count Chocula</t>
  </si>
  <si>
    <t>counchoc</t>
  </si>
  <si>
    <t>Bugs Bunny</t>
  </si>
  <si>
    <t>bugbunny</t>
  </si>
  <si>
    <t>John Smith</t>
  </si>
  <si>
    <t>johsmith</t>
  </si>
  <si>
    <t>Sleeping Beauty</t>
  </si>
  <si>
    <t>Lion King</t>
  </si>
  <si>
    <t>Betty Boop</t>
  </si>
  <si>
    <t>boopbett</t>
  </si>
  <si>
    <t>Daffy Duck</t>
  </si>
  <si>
    <t>duckdaff</t>
  </si>
  <si>
    <t>Garffield Cat</t>
  </si>
  <si>
    <t>catgarff</t>
  </si>
  <si>
    <t>Dennis Menace</t>
  </si>
  <si>
    <t>dennmena</t>
  </si>
  <si>
    <t>Charlie Brown</t>
  </si>
  <si>
    <t>charbrow</t>
  </si>
  <si>
    <t>Mickey Mouse</t>
  </si>
  <si>
    <t>mickmous</t>
  </si>
  <si>
    <t>Peppa Pig</t>
  </si>
  <si>
    <t>pepppig</t>
  </si>
  <si>
    <t>Larry Cucumber</t>
  </si>
  <si>
    <t>cucularr</t>
  </si>
  <si>
    <t>Johnny Bravo</t>
  </si>
  <si>
    <t>bravjohn</t>
  </si>
  <si>
    <t>Felix Cat</t>
  </si>
  <si>
    <t>felicatx</t>
  </si>
  <si>
    <t>Wanda Fairly</t>
  </si>
  <si>
    <t>Yogi Bear</t>
  </si>
  <si>
    <t>Popeye Sailor</t>
  </si>
  <si>
    <t>popesail</t>
  </si>
  <si>
    <t>Bart Simpson</t>
  </si>
  <si>
    <t>bartpson</t>
  </si>
  <si>
    <t>Tina Belcher</t>
  </si>
  <si>
    <t>belctina</t>
  </si>
  <si>
    <t>Fred Flintstone</t>
  </si>
  <si>
    <t>fredflin</t>
  </si>
  <si>
    <t>Doctor Doolittle</t>
  </si>
  <si>
    <t>dooldoct</t>
  </si>
  <si>
    <t>Rocky Bullwinkle</t>
  </si>
  <si>
    <t>Blossom Powerpuff</t>
  </si>
  <si>
    <t>poweblos</t>
  </si>
  <si>
    <t>Winnie Pooh</t>
  </si>
  <si>
    <t>Leonardo Turtle</t>
  </si>
  <si>
    <t>leonardo</t>
  </si>
  <si>
    <t>Scooby Doo</t>
  </si>
  <si>
    <t>dooscoob</t>
  </si>
  <si>
    <t>Bob Sponge</t>
  </si>
  <si>
    <t>Tom Jerry</t>
  </si>
  <si>
    <t>jerrytom</t>
  </si>
  <si>
    <t>Homer Simpson</t>
  </si>
  <si>
    <t>Smith Smith</t>
  </si>
  <si>
    <t>Shrek Ogre</t>
  </si>
  <si>
    <t>ogreshre</t>
  </si>
  <si>
    <t>Pink Panther</t>
  </si>
  <si>
    <t>Patrick Star</t>
  </si>
  <si>
    <t>starpatri</t>
  </si>
  <si>
    <t>Marvin Martian</t>
  </si>
  <si>
    <t>marvmart</t>
  </si>
  <si>
    <t>Dory Fish</t>
  </si>
  <si>
    <t>doryfish</t>
  </si>
  <si>
    <t>Chip Dale</t>
  </si>
  <si>
    <t>chipdale</t>
  </si>
  <si>
    <t>Cosmo Fairly</t>
  </si>
  <si>
    <t>Jane Doe</t>
  </si>
  <si>
    <t>John Doe</t>
  </si>
  <si>
    <t>Jack Doe</t>
  </si>
  <si>
    <t>`</t>
  </si>
  <si>
    <t>Column1</t>
  </si>
  <si>
    <t>Row Labels</t>
  </si>
  <si>
    <t>#N/A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</si>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</sst>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6"/>
      <color theme="0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5" fillId="3" borderId="1" xfId="0" applyFont="1" applyFill="1" applyBorder="1"/>
    <xf numFmtId="0" fontId="0" fillId="4" borderId="1" xfId="0" applyFill="1" applyBorder="1" applyAlignment="1">
      <alignment wrapText="1"/>
    </xf>
    <xf numFmtId="0" fontId="6" fillId="2" borderId="0" xfId="0" applyFont="1" applyFill="1" applyAlignment="1">
      <alignment horizontal="left" vertical="center" wrapText="1"/>
    </xf>
    <xf numFmtId="0" fontId="2" fillId="5" borderId="1" xfId="0" applyFont="1" applyFill="1" applyBorder="1" applyAlignment="1">
      <alignment horizontal="center" vertical="center"/>
    </xf>
    <xf numFmtId="0" fontId="0" fillId="0" borderId="2" xfId="0" applyBorder="1"/>
    <xf numFmtId="0" fontId="0" fillId="0" borderId="0" xfId="0" pivotButton="1"/>
    <xf numFmtId="0" fontId="3" fillId="2" borderId="0" xfId="0" applyFont="1" applyFill="1" applyAlignment="1">
      <alignment horizontal="left" wrapText="1"/>
    </xf>
    <xf numFmtId="0" fontId="0" fillId="0" borderId="0" xfId="0" applyAlignment="1">
      <alignment horizontal="left"/>
    </xf>
    <xf numFmtId="0" fontId="0" fillId="0" borderId="0" xfId="0" applyAlignment="1">
      <alignment horizontal="left" indent="1"/>
    </xf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87BC14C8-77F6-4283-8E06-FC244959C96B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666750</xdr:colOff>
          <xdr:row>18</xdr:row>
          <xdr:rowOff>57150</xdr:rowOff>
        </xdr:from>
        <xdr:to>
          <xdr:col>6</xdr:col>
          <xdr:colOff>276225</xdr:colOff>
          <xdr:row>22</xdr:row>
          <xdr:rowOff>47625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Total Hours 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18</xdr:row>
          <xdr:rowOff>95250</xdr:rowOff>
        </xdr:from>
        <xdr:to>
          <xdr:col>9</xdr:col>
          <xdr:colOff>171450</xdr:colOff>
          <xdr:row>22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Value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4456.727136921298" createdVersion="6" refreshedVersion="6" minRefreshableVersion="3" recordCount="13" xr:uid="{4EC3DA00-3FFD-464E-A7DA-C8F6CFA7B9FE}">
  <cacheSource type="worksheet">
    <worksheetSource name="Table2"/>
  </cacheSource>
  <cacheFields count="7">
    <cacheField name="Associate Login" numFmtId="0">
      <sharedItems/>
    </cacheField>
    <cacheField name="Manager Name" numFmtId="0">
      <sharedItems count="4">
        <s v="John Doe"/>
        <s v="Jane Doe"/>
        <e v="#N/A"/>
        <s v="Jack Doe"/>
      </sharedItems>
    </cacheField>
    <cacheField name="Shift Code" numFmtId="0">
      <sharedItems/>
    </cacheField>
    <cacheField name="Column1" numFmtId="0">
      <sharedItems containsBlank="1"/>
    </cacheField>
    <cacheField name="Units Processed" numFmtId="0">
      <sharedItems containsSemiMixedTypes="0" containsString="0" containsNumber="1" containsInteger="1" minValue="389" maxValue="1189"/>
    </cacheField>
    <cacheField name="Hours Worked" numFmtId="0">
      <sharedItems containsSemiMixedTypes="0" containsString="0" containsNumber="1" minValue="4.4000000000000004" maxValue="12"/>
    </cacheField>
    <cacheField name="Rate" numFmtId="0">
      <sharedItems containsSemiMixedTypes="0" containsString="0" containsNumber="1" minValue="86.020408163265301" maxValue="113.80281690140846" count="13">
        <n v="98"/>
        <n v="88.205128205128204"/>
        <n v="100.90909090909091"/>
        <n v="111.23595505617978"/>
        <n v="113.80281690140846"/>
        <n v="86.020408163265301"/>
        <n v="110.1"/>
        <n v="88.409090909090907"/>
        <n v="91.9"/>
        <n v="103.04347826086958"/>
        <n v="112.65625"/>
        <n v="99.083333333333329"/>
        <n v="104.64285714285715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">
  <r>
    <s v="whimzn"/>
    <x v="0"/>
    <s v="DA6-0700"/>
    <e v="#NAME?"/>
    <n v="980"/>
    <n v="10"/>
    <x v="0"/>
  </r>
  <r>
    <s v="camcarne"/>
    <x v="1"/>
    <s v="DA5-0745"/>
    <m/>
    <n v="688"/>
    <n v="7.8"/>
    <x v="1"/>
  </r>
  <r>
    <s v="sikevi"/>
    <x v="0"/>
    <s v="DA7-0645"/>
    <m/>
    <n v="555"/>
    <n v="5.5"/>
    <x v="2"/>
  </r>
  <r>
    <s v="arrogrs"/>
    <x v="2"/>
    <s v="RT677-4"/>
    <m/>
    <n v="990"/>
    <n v="8.9"/>
    <x v="3"/>
  </r>
  <r>
    <s v="eddelaro"/>
    <x v="3"/>
    <s v="RT1384-2"/>
    <m/>
    <n v="808"/>
    <n v="7.1"/>
    <x v="4"/>
  </r>
  <r>
    <s v="lhallowe"/>
    <x v="3"/>
    <s v="RT685-4"/>
    <m/>
    <n v="843"/>
    <n v="9.8000000000000007"/>
    <x v="5"/>
  </r>
  <r>
    <s v="arushton"/>
    <x v="2"/>
    <s v="DB3-0730"/>
    <m/>
    <n v="1101"/>
    <n v="10"/>
    <x v="6"/>
  </r>
  <r>
    <s v="giovsoto"/>
    <x v="3"/>
    <s v="DA6-0700"/>
    <m/>
    <n v="389"/>
    <n v="4.4000000000000004"/>
    <x v="7"/>
  </r>
  <r>
    <s v="kamatth"/>
    <x v="3"/>
    <s v="NA7-1830"/>
    <m/>
    <n v="919"/>
    <n v="10"/>
    <x v="8"/>
  </r>
  <r>
    <s v="whhay"/>
    <x v="3"/>
    <s v="DA7-0700"/>
    <m/>
    <n v="948"/>
    <n v="9.1999999999999993"/>
    <x v="9"/>
  </r>
  <r>
    <s v="aljhnn"/>
    <x v="2"/>
    <s v="NA6-1800"/>
    <m/>
    <n v="721"/>
    <n v="6.4"/>
    <x v="10"/>
  </r>
  <r>
    <s v="sheroly"/>
    <x v="0"/>
    <s v="NA6-1745"/>
    <m/>
    <n v="1189"/>
    <n v="12"/>
    <x v="11"/>
  </r>
  <r>
    <s v="skkopeck"/>
    <x v="0"/>
    <s v="DB2-0700"/>
    <m/>
    <n v="1172"/>
    <n v="11.2"/>
    <x v="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67C4C9-7152-4E94-94FC-797C2945857F}" name="PivotTable2" cacheId="6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A3:A21" firstHeaderRow="1" firstDataRow="1" firstDataCol="1"/>
  <pivotFields count="7">
    <pivotField showAll="0"/>
    <pivotField axis="axisRow" showAll="0">
      <items count="5">
        <item x="3"/>
        <item x="1"/>
        <item x="0"/>
        <item x="2"/>
        <item t="default"/>
      </items>
    </pivotField>
    <pivotField showAll="0"/>
    <pivotField showAll="0"/>
    <pivotField showAll="0"/>
    <pivotField showAll="0"/>
    <pivotField axis="axisRow" showAll="0" sortType="descending">
      <items count="14">
        <item x="4"/>
        <item x="10"/>
        <item x="3"/>
        <item x="6"/>
        <item x="12"/>
        <item x="9"/>
        <item x="2"/>
        <item x="11"/>
        <item x="0"/>
        <item x="8"/>
        <item x="7"/>
        <item x="1"/>
        <item x="5"/>
        <item t="default"/>
      </items>
    </pivotField>
  </pivotFields>
  <rowFields count="2">
    <field x="1"/>
    <field x="6"/>
  </rowFields>
  <rowItems count="18">
    <i>
      <x/>
    </i>
    <i r="1">
      <x/>
    </i>
    <i r="1">
      <x v="5"/>
    </i>
    <i r="1">
      <x v="9"/>
    </i>
    <i r="1">
      <x v="10"/>
    </i>
    <i r="1">
      <x v="12"/>
    </i>
    <i>
      <x v="1"/>
    </i>
    <i r="1">
      <x v="11"/>
    </i>
    <i>
      <x v="2"/>
    </i>
    <i r="1">
      <x v="4"/>
    </i>
    <i r="1">
      <x v="6"/>
    </i>
    <i r="1">
      <x v="7"/>
    </i>
    <i r="1">
      <x v="8"/>
    </i>
    <i>
      <x v="3"/>
    </i>
    <i r="1">
      <x v="1"/>
    </i>
    <i r="1">
      <x v="2"/>
    </i>
    <i r="1">
      <x v="3"/>
    </i>
    <i t="grand"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2AB75E-10E6-429C-B82E-C4BF5A76A06B}" name="Table2" displayName="Table2" ref="A1:G14" totalsRowShown="0">
  <autoFilter ref="A1:G14" xr:uid="{9C44FBB9-F51A-48E2-A35E-63A5E15D5445}"/>
  <tableColumns count="7">
    <tableColumn id="1" xr3:uid="{A6F75BC7-ED1C-44D3-ACE3-86213B76E052}" name="Associate Login"/>
    <tableColumn id="2" xr3:uid="{2778BBA4-8F73-41FD-85C3-079B1FEC1AF2}" name="Manager Name">
      <calculatedColumnFormula>VLOOKUP(A2,Roster!D2:J45,7)</calculatedColumnFormula>
    </tableColumn>
    <tableColumn id="3" xr3:uid="{2BB730FB-7E6D-43A3-8335-615CBE0B772B}" name="Shift Code">
      <calculatedColumnFormula>Roster!B2:B45</calculatedColumnFormula>
    </tableColumn>
    <tableColumn id="4" xr3:uid="{6DCFA548-1A71-4CEB-950A-F226621D4F01}" name="Column1"/>
    <tableColumn id="5" xr3:uid="{D86EAE78-DCAC-4B6E-8CD7-A6FB4951F6C5}" name="Units Processed"/>
    <tableColumn id="6" xr3:uid="{A4086E5C-8A83-4B21-870F-02677F1CD1CD}" name="Hours Worked"/>
    <tableColumn id="7" xr3:uid="{BA33D6BD-8BF8-45A7-A020-C1CC5FEDBD40}" name="Rate">
      <calculatedColumnFormula>'Case Study'!E2/'Case Study'!F2</calculatedColumnFormula>
    </tableColumn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structions"/>
  <dimension ref="B2:L19"/>
  <sheetViews>
    <sheetView showGridLines="0" topLeftCell="A4" workbookViewId="0">
      <selection activeCell="B16" sqref="B16"/>
    </sheetView>
  </sheetViews>
  <sheetFormatPr defaultRowHeight="15" x14ac:dyDescent="0.25"/>
  <cols>
    <col min="2" max="2" width="97" customWidth="1"/>
    <col min="3" max="3" width="11.140625" customWidth="1"/>
  </cols>
  <sheetData>
    <row r="2" spans="2:12" ht="64.900000000000006" customHeight="1" x14ac:dyDescent="0.35">
      <c r="B2" s="8" t="s">
        <v>114</v>
      </c>
      <c r="C2" s="8"/>
    </row>
    <row r="3" spans="2:12" ht="15.75" thickBot="1" x14ac:dyDescent="0.3"/>
    <row r="4" spans="2:12" ht="19.5" thickBot="1" x14ac:dyDescent="0.35">
      <c r="B4" s="2" t="s">
        <v>104</v>
      </c>
      <c r="C4" s="2" t="s">
        <v>103</v>
      </c>
    </row>
    <row r="5" spans="2:12" ht="30.75" thickBot="1" x14ac:dyDescent="0.3">
      <c r="B5" s="3" t="s">
        <v>105</v>
      </c>
      <c r="C5" s="5"/>
    </row>
    <row r="6" spans="2:12" ht="30.75" thickBot="1" x14ac:dyDescent="0.3">
      <c r="B6" s="3" t="s">
        <v>106</v>
      </c>
      <c r="C6" s="5"/>
    </row>
    <row r="7" spans="2:12" ht="30.75" thickBot="1" x14ac:dyDescent="0.3">
      <c r="B7" s="3" t="s">
        <v>107</v>
      </c>
      <c r="C7" s="5"/>
      <c r="L7" t="s">
        <v>193</v>
      </c>
    </row>
    <row r="8" spans="2:12" ht="30.75" thickBot="1" x14ac:dyDescent="0.3">
      <c r="B8" s="3" t="s">
        <v>108</v>
      </c>
      <c r="C8" s="5"/>
    </row>
    <row r="9" spans="2:12" ht="75.75" thickBot="1" x14ac:dyDescent="0.3">
      <c r="B9" s="3" t="s">
        <v>109</v>
      </c>
      <c r="C9" s="5"/>
    </row>
    <row r="10" spans="2:12" ht="45.75" thickBot="1" x14ac:dyDescent="0.3">
      <c r="B10" s="3" t="s">
        <v>115</v>
      </c>
      <c r="C10" s="5"/>
    </row>
    <row r="11" spans="2:12" ht="24" thickBot="1" x14ac:dyDescent="0.3">
      <c r="B11" s="3" t="s">
        <v>110</v>
      </c>
      <c r="C11" s="5"/>
    </row>
    <row r="19" spans="2:2" x14ac:dyDescent="0.25">
      <c r="B19" s="1" t="s">
        <v>111</v>
      </c>
    </row>
  </sheetData>
  <mergeCells count="1">
    <mergeCell ref="B2:C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811A40-4AC7-4183-B116-1192A347BF60}">
  <dimension ref="A3:A21"/>
  <sheetViews>
    <sheetView workbookViewId="0">
      <selection activeCell="C23" sqref="C23"/>
    </sheetView>
  </sheetViews>
  <sheetFormatPr defaultRowHeight="15" x14ac:dyDescent="0.25"/>
  <cols>
    <col min="1" max="1" width="15.85546875" bestFit="1" customWidth="1"/>
    <col min="2" max="3" width="12" bestFit="1" customWidth="1"/>
  </cols>
  <sheetData>
    <row r="3" spans="1:1" x14ac:dyDescent="0.25">
      <c r="A3" s="7" t="s">
        <v>195</v>
      </c>
    </row>
    <row r="4" spans="1:1" x14ac:dyDescent="0.25">
      <c r="A4" s="9" t="s">
        <v>192</v>
      </c>
    </row>
    <row r="5" spans="1:1" x14ac:dyDescent="0.25">
      <c r="A5" s="10">
        <v>113.80281690140846</v>
      </c>
    </row>
    <row r="6" spans="1:1" x14ac:dyDescent="0.25">
      <c r="A6" s="10">
        <v>103.04347826086958</v>
      </c>
    </row>
    <row r="7" spans="1:1" x14ac:dyDescent="0.25">
      <c r="A7" s="10">
        <v>91.9</v>
      </c>
    </row>
    <row r="8" spans="1:1" x14ac:dyDescent="0.25">
      <c r="A8" s="10">
        <v>88.409090909090907</v>
      </c>
    </row>
    <row r="9" spans="1:1" x14ac:dyDescent="0.25">
      <c r="A9" s="10">
        <v>86.020408163265301</v>
      </c>
    </row>
    <row r="10" spans="1:1" x14ac:dyDescent="0.25">
      <c r="A10" s="9" t="s">
        <v>190</v>
      </c>
    </row>
    <row r="11" spans="1:1" x14ac:dyDescent="0.25">
      <c r="A11" s="10">
        <v>88.205128205128204</v>
      </c>
    </row>
    <row r="12" spans="1:1" x14ac:dyDescent="0.25">
      <c r="A12" s="9" t="s">
        <v>191</v>
      </c>
    </row>
    <row r="13" spans="1:1" x14ac:dyDescent="0.25">
      <c r="A13" s="10">
        <v>104.64285714285715</v>
      </c>
    </row>
    <row r="14" spans="1:1" x14ac:dyDescent="0.25">
      <c r="A14" s="10">
        <v>100.90909090909091</v>
      </c>
    </row>
    <row r="15" spans="1:1" x14ac:dyDescent="0.25">
      <c r="A15" s="10">
        <v>99.083333333333329</v>
      </c>
    </row>
    <row r="16" spans="1:1" x14ac:dyDescent="0.25">
      <c r="A16" s="10">
        <v>98</v>
      </c>
    </row>
    <row r="17" spans="1:1" x14ac:dyDescent="0.25">
      <c r="A17" s="9" t="s">
        <v>196</v>
      </c>
    </row>
    <row r="18" spans="1:1" x14ac:dyDescent="0.25">
      <c r="A18" s="10">
        <v>112.65625</v>
      </c>
    </row>
    <row r="19" spans="1:1" x14ac:dyDescent="0.25">
      <c r="A19" s="10">
        <v>111.23595505617978</v>
      </c>
    </row>
    <row r="20" spans="1:1" x14ac:dyDescent="0.25">
      <c r="A20" s="10">
        <v>110.1</v>
      </c>
    </row>
    <row r="21" spans="1:1" x14ac:dyDescent="0.25">
      <c r="A21" s="9" t="s">
        <v>197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tudy"/>
  <dimension ref="A1:I17"/>
  <sheetViews>
    <sheetView tabSelected="1" workbookViewId="0"/>
  </sheetViews>
  <sheetFormatPr defaultRowHeight="15" x14ac:dyDescent="0.25"/>
  <cols>
    <col min="1" max="1" width="16.7109375" customWidth="1"/>
    <col min="2" max="2" width="22.42578125" customWidth="1"/>
    <col min="3" max="3" width="12.28515625" customWidth="1"/>
    <col min="4" max="4" width="13.7109375" customWidth="1"/>
    <col min="5" max="5" width="17.28515625" customWidth="1"/>
    <col min="6" max="6" width="15.85546875" customWidth="1"/>
  </cols>
  <sheetData>
    <row r="1" spans="1:7" x14ac:dyDescent="0.25">
      <c r="A1" t="s">
        <v>0</v>
      </c>
      <c r="B1" t="s">
        <v>11</v>
      </c>
      <c r="C1" t="s">
        <v>102</v>
      </c>
      <c r="D1" t="s">
        <v>194</v>
      </c>
      <c r="E1" t="s">
        <v>2</v>
      </c>
      <c r="F1" t="s">
        <v>1</v>
      </c>
      <c r="G1" t="s">
        <v>101</v>
      </c>
    </row>
    <row r="2" spans="1:7" x14ac:dyDescent="0.25">
      <c r="A2" t="s">
        <v>25</v>
      </c>
      <c r="B2" t="str">
        <f>VLOOKUP(A2,Roster!D2:J45,7)</f>
        <v>John Doe</v>
      </c>
      <c r="C2" t="str">
        <f>Roster!B2:B45</f>
        <v>DA6-0700</v>
      </c>
      <c r="D2" t="e">
        <f>if</f>
        <v>#NAME?</v>
      </c>
      <c r="E2">
        <v>980</v>
      </c>
      <c r="F2">
        <v>10</v>
      </c>
      <c r="G2">
        <f>'Case Study'!E2/'Case Study'!F2</f>
        <v>98</v>
      </c>
    </row>
    <row r="3" spans="1:7" x14ac:dyDescent="0.25">
      <c r="A3" t="s">
        <v>63</v>
      </c>
      <c r="B3" t="str">
        <f>VLOOKUP(A3,Roster!D3:J46,7)</f>
        <v>Jane Doe</v>
      </c>
      <c r="C3" t="str">
        <f>Roster!B3:B46</f>
        <v>DA5-0745</v>
      </c>
      <c r="E3">
        <v>688</v>
      </c>
      <c r="F3">
        <v>7.8</v>
      </c>
      <c r="G3">
        <f>'Case Study'!E3/'Case Study'!F3</f>
        <v>88.205128205128204</v>
      </c>
    </row>
    <row r="4" spans="1:7" x14ac:dyDescent="0.25">
      <c r="A4" t="s">
        <v>64</v>
      </c>
      <c r="B4" t="str">
        <f>VLOOKUP(A4,Roster!D4:J47,7)</f>
        <v>John Doe</v>
      </c>
      <c r="C4" t="str">
        <f>Roster!B4:B47</f>
        <v>DA7-0645</v>
      </c>
      <c r="E4">
        <v>555</v>
      </c>
      <c r="F4">
        <v>5.5</v>
      </c>
      <c r="G4">
        <f>'Case Study'!E4/'Case Study'!F4</f>
        <v>100.90909090909091</v>
      </c>
    </row>
    <row r="5" spans="1:7" x14ac:dyDescent="0.25">
      <c r="A5" t="s">
        <v>57</v>
      </c>
      <c r="B5" t="e">
        <f>VLOOKUP(A5,Roster!D5:J48,7)</f>
        <v>#N/A</v>
      </c>
      <c r="C5" t="str">
        <f>Roster!B5:B48</f>
        <v>RT677-4</v>
      </c>
      <c r="E5">
        <v>990</v>
      </c>
      <c r="F5">
        <v>8.9</v>
      </c>
      <c r="G5">
        <f>'Case Study'!E5/'Case Study'!F5</f>
        <v>111.23595505617978</v>
      </c>
    </row>
    <row r="6" spans="1:7" x14ac:dyDescent="0.25">
      <c r="A6" t="s">
        <v>42</v>
      </c>
      <c r="B6" t="str">
        <f>VLOOKUP(A6,Roster!D6:J49,7)</f>
        <v>Jack Doe</v>
      </c>
      <c r="C6" t="str">
        <f>Roster!B6:B49</f>
        <v>RT1384-2</v>
      </c>
      <c r="E6">
        <v>808</v>
      </c>
      <c r="F6">
        <v>7.1</v>
      </c>
      <c r="G6">
        <f>'Case Study'!E6/'Case Study'!F6</f>
        <v>113.80281690140846</v>
      </c>
    </row>
    <row r="7" spans="1:7" x14ac:dyDescent="0.25">
      <c r="A7" t="s">
        <v>39</v>
      </c>
      <c r="B7" t="str">
        <f>VLOOKUP(A7,Roster!D7:J50,7)</f>
        <v>Jack Doe</v>
      </c>
      <c r="C7" t="str">
        <f>Roster!B7:B50</f>
        <v>RT685-4</v>
      </c>
      <c r="E7">
        <v>843</v>
      </c>
      <c r="F7">
        <v>9.8000000000000007</v>
      </c>
      <c r="G7">
        <f>'Case Study'!E7/'Case Study'!F7</f>
        <v>86.020408163265301</v>
      </c>
    </row>
    <row r="8" spans="1:7" x14ac:dyDescent="0.25">
      <c r="A8" t="s">
        <v>50</v>
      </c>
      <c r="B8" t="e">
        <f>VLOOKUP(A8,Roster!D8:J51,7)</f>
        <v>#N/A</v>
      </c>
      <c r="C8" t="str">
        <f>Roster!B8:B51</f>
        <v>DB3-0730</v>
      </c>
      <c r="E8">
        <v>1101</v>
      </c>
      <c r="F8">
        <v>10</v>
      </c>
      <c r="G8">
        <f>'Case Study'!E8/'Case Study'!F8</f>
        <v>110.1</v>
      </c>
    </row>
    <row r="9" spans="1:7" x14ac:dyDescent="0.25">
      <c r="A9" t="s">
        <v>53</v>
      </c>
      <c r="B9" t="str">
        <f>VLOOKUP(A9,Roster!D9:J52,7)</f>
        <v>Jack Doe</v>
      </c>
      <c r="C9" t="str">
        <f>Roster!B9:B52</f>
        <v>DA6-0700</v>
      </c>
      <c r="E9">
        <v>389</v>
      </c>
      <c r="F9">
        <v>4.4000000000000004</v>
      </c>
      <c r="G9">
        <f>'Case Study'!E9/'Case Study'!F9</f>
        <v>88.409090909090907</v>
      </c>
    </row>
    <row r="10" spans="1:7" x14ac:dyDescent="0.25">
      <c r="A10" t="s">
        <v>60</v>
      </c>
      <c r="B10" t="str">
        <f>VLOOKUP(A10,Roster!D10:J53,7)</f>
        <v>Jack Doe</v>
      </c>
      <c r="C10" t="str">
        <f>Roster!B10:B53</f>
        <v>NA7-1830</v>
      </c>
      <c r="E10">
        <v>919</v>
      </c>
      <c r="F10">
        <v>10</v>
      </c>
      <c r="G10">
        <f>'Case Study'!E10/'Case Study'!F10</f>
        <v>91.9</v>
      </c>
    </row>
    <row r="11" spans="1:7" x14ac:dyDescent="0.25">
      <c r="A11" t="s">
        <v>61</v>
      </c>
      <c r="B11" t="str">
        <f>VLOOKUP(A11,Roster!D11:J54,7)</f>
        <v>Jack Doe</v>
      </c>
      <c r="C11" t="str">
        <f>Roster!B11:B54</f>
        <v>DA7-0700</v>
      </c>
      <c r="E11">
        <v>948</v>
      </c>
      <c r="F11">
        <v>9.1999999999999993</v>
      </c>
      <c r="G11">
        <f>'Case Study'!E11/'Case Study'!F11</f>
        <v>103.04347826086958</v>
      </c>
    </row>
    <row r="12" spans="1:7" x14ac:dyDescent="0.25">
      <c r="A12" t="s">
        <v>22</v>
      </c>
      <c r="B12" t="e">
        <f>VLOOKUP(A12,Roster!D12:J55,7)</f>
        <v>#N/A</v>
      </c>
      <c r="C12" t="str">
        <f>Roster!B12:B55</f>
        <v>NA6-1800</v>
      </c>
      <c r="E12">
        <v>721</v>
      </c>
      <c r="F12">
        <v>6.4</v>
      </c>
      <c r="G12">
        <f>'Case Study'!E12/'Case Study'!F12</f>
        <v>112.65625</v>
      </c>
    </row>
    <row r="13" spans="1:7" x14ac:dyDescent="0.25">
      <c r="A13" t="s">
        <v>62</v>
      </c>
      <c r="B13" t="str">
        <f>VLOOKUP(A13,Roster!D13:J56,7)</f>
        <v>John Doe</v>
      </c>
      <c r="C13" t="str">
        <f>Roster!B13:B56</f>
        <v>NA6-1745</v>
      </c>
      <c r="E13">
        <v>1189</v>
      </c>
      <c r="F13">
        <v>12</v>
      </c>
      <c r="G13">
        <f>'Case Study'!E13/'Case Study'!F13</f>
        <v>99.083333333333329</v>
      </c>
    </row>
    <row r="14" spans="1:7" x14ac:dyDescent="0.25">
      <c r="A14" t="s">
        <v>65</v>
      </c>
      <c r="B14" t="str">
        <f>VLOOKUP(A14,Roster!D14:J57,7)</f>
        <v>John Doe</v>
      </c>
      <c r="C14" t="str">
        <f>Roster!B14:B57</f>
        <v>DB2-0700</v>
      </c>
      <c r="E14">
        <v>1172</v>
      </c>
      <c r="F14">
        <v>11.2</v>
      </c>
      <c r="G14">
        <f>'Case Study'!E14/'Case Study'!F14</f>
        <v>104.64285714285715</v>
      </c>
    </row>
    <row r="16" spans="1:7" ht="15.75" thickBot="1" x14ac:dyDescent="0.3"/>
    <row r="17" spans="6:9" ht="15.75" thickBot="1" x14ac:dyDescent="0.3">
      <c r="F17" s="6">
        <f>SUM(F2:F14)</f>
        <v>112.30000000000001</v>
      </c>
      <c r="I17" s="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1_Click">
                <anchor moveWithCells="1" sizeWithCells="1">
                  <from>
                    <xdr:col>4</xdr:col>
                    <xdr:colOff>666750</xdr:colOff>
                    <xdr:row>18</xdr:row>
                    <xdr:rowOff>57150</xdr:rowOff>
                  </from>
                  <to>
                    <xdr:col>6</xdr:col>
                    <xdr:colOff>276225</xdr:colOff>
                    <xdr:row>22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2_Click">
                <anchor moveWithCells="1" sizeWithCells="1">
                  <from>
                    <xdr:col>7</xdr:col>
                    <xdr:colOff>28575</xdr:colOff>
                    <xdr:row>18</xdr:row>
                    <xdr:rowOff>95250</xdr:rowOff>
                  </from>
                  <to>
                    <xdr:col>9</xdr:col>
                    <xdr:colOff>171450</xdr:colOff>
                    <xdr:row>22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Roster"/>
  <dimension ref="A1:J45"/>
  <sheetViews>
    <sheetView workbookViewId="0">
      <selection activeCell="C4" sqref="C4"/>
    </sheetView>
  </sheetViews>
  <sheetFormatPr defaultRowHeight="15" x14ac:dyDescent="0.25"/>
  <cols>
    <col min="1" max="1" width="15.28515625" customWidth="1"/>
    <col min="2" max="2" width="16.7109375" bestFit="1" customWidth="1"/>
    <col min="3" max="3" width="9.28515625" bestFit="1" customWidth="1"/>
    <col min="4" max="4" width="21.85546875" bestFit="1" customWidth="1"/>
    <col min="5" max="5" width="15.5703125" bestFit="1" customWidth="1"/>
    <col min="6" max="6" width="13.28515625" bestFit="1" customWidth="1"/>
    <col min="7" max="7" width="27.42578125" bestFit="1" customWidth="1"/>
    <col min="8" max="8" width="15.85546875" bestFit="1" customWidth="1"/>
    <col min="9" max="9" width="14.7109375" bestFit="1" customWidth="1"/>
    <col min="10" max="10" width="21.7109375" bestFit="1" customWidth="1"/>
    <col min="11" max="11" width="5.5703125" bestFit="1" customWidth="1"/>
  </cols>
  <sheetData>
    <row r="1" spans="1:10" x14ac:dyDescent="0.25">
      <c r="A1" t="s">
        <v>3</v>
      </c>
      <c r="B1" t="s">
        <v>12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</row>
    <row r="2" spans="1:10" x14ac:dyDescent="0.25">
      <c r="A2">
        <v>123456780</v>
      </c>
      <c r="B2" t="s">
        <v>84</v>
      </c>
      <c r="C2" t="s">
        <v>119</v>
      </c>
      <c r="D2" t="s">
        <v>116</v>
      </c>
      <c r="E2">
        <v>11651173</v>
      </c>
      <c r="F2">
        <v>1290</v>
      </c>
      <c r="G2" t="s">
        <v>15</v>
      </c>
      <c r="H2" t="s">
        <v>13</v>
      </c>
      <c r="I2" t="s">
        <v>14</v>
      </c>
      <c r="J2" t="s">
        <v>190</v>
      </c>
    </row>
    <row r="3" spans="1:10" x14ac:dyDescent="0.25">
      <c r="A3">
        <v>123456781</v>
      </c>
      <c r="B3" t="s">
        <v>77</v>
      </c>
      <c r="C3" t="s">
        <v>120</v>
      </c>
      <c r="D3" t="s">
        <v>117</v>
      </c>
      <c r="E3">
        <v>11896628</v>
      </c>
      <c r="F3">
        <v>1290</v>
      </c>
      <c r="G3" t="s">
        <v>16</v>
      </c>
      <c r="H3" t="s">
        <v>13</v>
      </c>
      <c r="I3" t="s">
        <v>14</v>
      </c>
      <c r="J3" t="s">
        <v>190</v>
      </c>
    </row>
    <row r="4" spans="1:10" x14ac:dyDescent="0.25">
      <c r="A4">
        <v>123456782</v>
      </c>
      <c r="B4" t="s">
        <v>83</v>
      </c>
      <c r="C4" t="s">
        <v>57</v>
      </c>
      <c r="D4" t="s">
        <v>118</v>
      </c>
      <c r="E4">
        <v>13140331</v>
      </c>
      <c r="F4">
        <v>1290</v>
      </c>
      <c r="G4" t="s">
        <v>17</v>
      </c>
      <c r="H4" t="s">
        <v>13</v>
      </c>
      <c r="I4" t="s">
        <v>14</v>
      </c>
      <c r="J4" t="s">
        <v>190</v>
      </c>
    </row>
    <row r="5" spans="1:10" x14ac:dyDescent="0.25">
      <c r="A5">
        <v>123456783</v>
      </c>
      <c r="B5" t="s">
        <v>76</v>
      </c>
      <c r="C5" t="s">
        <v>42</v>
      </c>
      <c r="D5" t="s">
        <v>121</v>
      </c>
      <c r="E5">
        <v>12762246</v>
      </c>
      <c r="F5">
        <v>1290</v>
      </c>
      <c r="G5" t="s">
        <v>18</v>
      </c>
      <c r="H5" t="s">
        <v>13</v>
      </c>
      <c r="I5" t="s">
        <v>14</v>
      </c>
      <c r="J5" t="s">
        <v>190</v>
      </c>
    </row>
    <row r="6" spans="1:10" x14ac:dyDescent="0.25">
      <c r="A6">
        <v>123456784</v>
      </c>
      <c r="B6" t="s">
        <v>82</v>
      </c>
      <c r="C6" t="s">
        <v>19</v>
      </c>
      <c r="D6" t="s">
        <v>122</v>
      </c>
      <c r="E6">
        <v>11249946</v>
      </c>
      <c r="F6">
        <v>1290</v>
      </c>
      <c r="G6" t="s">
        <v>20</v>
      </c>
      <c r="H6" t="s">
        <v>13</v>
      </c>
      <c r="I6" t="s">
        <v>14</v>
      </c>
      <c r="J6" t="s">
        <v>190</v>
      </c>
    </row>
    <row r="7" spans="1:10" x14ac:dyDescent="0.25">
      <c r="A7">
        <v>123456785</v>
      </c>
      <c r="B7" t="s">
        <v>78</v>
      </c>
      <c r="C7" t="s">
        <v>128</v>
      </c>
      <c r="D7" t="s">
        <v>127</v>
      </c>
      <c r="E7">
        <v>11916417</v>
      </c>
      <c r="F7">
        <v>1290</v>
      </c>
      <c r="G7" t="s">
        <v>21</v>
      </c>
      <c r="H7" t="s">
        <v>13</v>
      </c>
      <c r="I7" t="s">
        <v>14</v>
      </c>
      <c r="J7" t="s">
        <v>190</v>
      </c>
    </row>
    <row r="8" spans="1:10" x14ac:dyDescent="0.25">
      <c r="A8">
        <v>123456786</v>
      </c>
      <c r="B8" t="s">
        <v>70</v>
      </c>
      <c r="C8" t="s">
        <v>130</v>
      </c>
      <c r="D8" t="s">
        <v>129</v>
      </c>
      <c r="E8">
        <v>12491101</v>
      </c>
      <c r="F8">
        <v>1290</v>
      </c>
      <c r="G8" t="s">
        <v>23</v>
      </c>
      <c r="H8" t="s">
        <v>13</v>
      </c>
      <c r="I8" t="s">
        <v>14</v>
      </c>
      <c r="J8" t="s">
        <v>190</v>
      </c>
    </row>
    <row r="9" spans="1:10" x14ac:dyDescent="0.25">
      <c r="A9">
        <v>123456787</v>
      </c>
      <c r="B9" t="s">
        <v>84</v>
      </c>
      <c r="C9" t="s">
        <v>64</v>
      </c>
      <c r="D9" t="s">
        <v>131</v>
      </c>
      <c r="E9">
        <v>133105</v>
      </c>
      <c r="F9">
        <v>1290</v>
      </c>
      <c r="G9" t="s">
        <v>24</v>
      </c>
      <c r="H9" t="s">
        <v>13</v>
      </c>
      <c r="I9" t="s">
        <v>14</v>
      </c>
      <c r="J9" t="s">
        <v>190</v>
      </c>
    </row>
    <row r="10" spans="1:10" x14ac:dyDescent="0.25">
      <c r="A10">
        <v>123456788</v>
      </c>
      <c r="B10" t="s">
        <v>85</v>
      </c>
      <c r="C10" t="s">
        <v>124</v>
      </c>
      <c r="D10" t="s">
        <v>123</v>
      </c>
      <c r="E10">
        <v>61413</v>
      </c>
      <c r="F10">
        <v>1290</v>
      </c>
      <c r="G10" t="s">
        <v>26</v>
      </c>
      <c r="H10" t="s">
        <v>13</v>
      </c>
      <c r="I10" t="s">
        <v>14</v>
      </c>
      <c r="J10" t="s">
        <v>190</v>
      </c>
    </row>
    <row r="11" spans="1:10" x14ac:dyDescent="0.25">
      <c r="A11">
        <v>123456789</v>
      </c>
      <c r="B11" t="s">
        <v>72</v>
      </c>
      <c r="C11" t="s">
        <v>39</v>
      </c>
      <c r="D11" t="s">
        <v>132</v>
      </c>
      <c r="E11">
        <v>12159053</v>
      </c>
      <c r="F11">
        <v>1290</v>
      </c>
      <c r="G11" t="s">
        <v>28</v>
      </c>
      <c r="H11" t="s">
        <v>13</v>
      </c>
      <c r="I11" t="s">
        <v>14</v>
      </c>
      <c r="J11" t="s">
        <v>190</v>
      </c>
    </row>
    <row r="12" spans="1:10" x14ac:dyDescent="0.25">
      <c r="A12">
        <v>123456790</v>
      </c>
      <c r="B12" t="s">
        <v>73</v>
      </c>
      <c r="C12" t="s">
        <v>134</v>
      </c>
      <c r="D12" t="s">
        <v>133</v>
      </c>
      <c r="E12">
        <v>12686383</v>
      </c>
      <c r="F12">
        <v>1290</v>
      </c>
      <c r="G12" t="s">
        <v>29</v>
      </c>
      <c r="H12" t="s">
        <v>13</v>
      </c>
      <c r="I12" t="s">
        <v>14</v>
      </c>
      <c r="J12" t="s">
        <v>190</v>
      </c>
    </row>
    <row r="13" spans="1:10" x14ac:dyDescent="0.25">
      <c r="A13">
        <v>123456791</v>
      </c>
      <c r="B13" t="s">
        <v>95</v>
      </c>
      <c r="C13" t="s">
        <v>136</v>
      </c>
      <c r="D13" t="s">
        <v>135</v>
      </c>
      <c r="E13">
        <v>13139807</v>
      </c>
      <c r="F13">
        <v>1290</v>
      </c>
      <c r="G13" t="s">
        <v>17</v>
      </c>
      <c r="H13" t="s">
        <v>13</v>
      </c>
      <c r="I13" t="s">
        <v>14</v>
      </c>
      <c r="J13" t="s">
        <v>190</v>
      </c>
    </row>
    <row r="14" spans="1:10" x14ac:dyDescent="0.25">
      <c r="A14">
        <v>123456792</v>
      </c>
      <c r="B14" t="s">
        <v>93</v>
      </c>
      <c r="C14" t="s">
        <v>138</v>
      </c>
      <c r="D14" t="s">
        <v>137</v>
      </c>
      <c r="E14">
        <v>160713</v>
      </c>
      <c r="F14">
        <v>1290</v>
      </c>
      <c r="G14" t="s">
        <v>30</v>
      </c>
      <c r="H14" t="s">
        <v>13</v>
      </c>
      <c r="I14" t="s">
        <v>14</v>
      </c>
      <c r="J14" t="s">
        <v>190</v>
      </c>
    </row>
    <row r="15" spans="1:10" x14ac:dyDescent="0.25">
      <c r="A15">
        <v>123456793</v>
      </c>
      <c r="B15" t="s">
        <v>86</v>
      </c>
      <c r="C15" t="s">
        <v>140</v>
      </c>
      <c r="D15" t="s">
        <v>139</v>
      </c>
      <c r="E15">
        <v>11640822</v>
      </c>
      <c r="F15">
        <v>1290</v>
      </c>
      <c r="G15" t="s">
        <v>31</v>
      </c>
      <c r="H15" t="s">
        <v>13</v>
      </c>
      <c r="I15" t="s">
        <v>14</v>
      </c>
      <c r="J15" t="s">
        <v>190</v>
      </c>
    </row>
    <row r="16" spans="1:10" x14ac:dyDescent="0.25">
      <c r="A16">
        <v>123456794</v>
      </c>
      <c r="B16" t="s">
        <v>88</v>
      </c>
      <c r="C16" t="s">
        <v>126</v>
      </c>
      <c r="D16" t="s">
        <v>125</v>
      </c>
      <c r="E16">
        <v>13242633</v>
      </c>
      <c r="F16">
        <v>1290</v>
      </c>
      <c r="G16" t="s">
        <v>27</v>
      </c>
      <c r="H16" t="s">
        <v>13</v>
      </c>
      <c r="I16" t="s">
        <v>14</v>
      </c>
      <c r="J16" t="s">
        <v>192</v>
      </c>
    </row>
    <row r="17" spans="1:10" x14ac:dyDescent="0.25">
      <c r="A17">
        <v>123456795</v>
      </c>
      <c r="B17" t="s">
        <v>66</v>
      </c>
      <c r="C17" t="s">
        <v>142</v>
      </c>
      <c r="D17" t="s">
        <v>141</v>
      </c>
      <c r="E17">
        <v>11258111</v>
      </c>
      <c r="F17">
        <v>1290</v>
      </c>
      <c r="G17" t="s">
        <v>32</v>
      </c>
      <c r="H17" t="s">
        <v>13</v>
      </c>
      <c r="I17" t="s">
        <v>14</v>
      </c>
      <c r="J17" t="s">
        <v>192</v>
      </c>
    </row>
    <row r="18" spans="1:10" x14ac:dyDescent="0.25">
      <c r="A18">
        <v>123456796</v>
      </c>
      <c r="B18" t="s">
        <v>91</v>
      </c>
      <c r="C18" t="s">
        <v>144</v>
      </c>
      <c r="D18" t="s">
        <v>143</v>
      </c>
      <c r="E18">
        <v>13139649</v>
      </c>
      <c r="F18">
        <v>1290</v>
      </c>
      <c r="G18" t="s">
        <v>17</v>
      </c>
      <c r="H18" t="s">
        <v>13</v>
      </c>
      <c r="I18" t="s">
        <v>14</v>
      </c>
      <c r="J18" t="s">
        <v>192</v>
      </c>
    </row>
    <row r="19" spans="1:10" x14ac:dyDescent="0.25">
      <c r="A19">
        <v>123456797</v>
      </c>
      <c r="B19" t="s">
        <v>94</v>
      </c>
      <c r="C19" t="s">
        <v>146</v>
      </c>
      <c r="D19" t="s">
        <v>145</v>
      </c>
      <c r="E19">
        <v>13393892</v>
      </c>
      <c r="F19">
        <v>1290</v>
      </c>
      <c r="G19" t="s">
        <v>33</v>
      </c>
      <c r="H19" t="s">
        <v>13</v>
      </c>
      <c r="I19" t="s">
        <v>14</v>
      </c>
      <c r="J19" t="s">
        <v>192</v>
      </c>
    </row>
    <row r="20" spans="1:10" x14ac:dyDescent="0.25">
      <c r="A20">
        <v>123456798</v>
      </c>
      <c r="B20" t="s">
        <v>99</v>
      </c>
      <c r="C20" t="s">
        <v>148</v>
      </c>
      <c r="D20" t="s">
        <v>147</v>
      </c>
      <c r="E20">
        <v>22921</v>
      </c>
      <c r="F20">
        <v>1290</v>
      </c>
      <c r="G20" t="s">
        <v>34</v>
      </c>
      <c r="H20" t="s">
        <v>13</v>
      </c>
      <c r="I20" t="s">
        <v>14</v>
      </c>
      <c r="J20" t="s">
        <v>192</v>
      </c>
    </row>
    <row r="21" spans="1:10" x14ac:dyDescent="0.25">
      <c r="A21">
        <v>123456799</v>
      </c>
      <c r="B21" t="s">
        <v>81</v>
      </c>
      <c r="C21" t="s">
        <v>150</v>
      </c>
      <c r="D21" t="s">
        <v>149</v>
      </c>
      <c r="E21">
        <v>59817</v>
      </c>
      <c r="F21">
        <v>1290</v>
      </c>
      <c r="G21" t="s">
        <v>35</v>
      </c>
      <c r="H21" t="s">
        <v>13</v>
      </c>
      <c r="I21" t="s">
        <v>14</v>
      </c>
      <c r="J21" t="s">
        <v>192</v>
      </c>
    </row>
    <row r="22" spans="1:10" x14ac:dyDescent="0.25">
      <c r="A22">
        <v>123456800</v>
      </c>
      <c r="B22" t="s">
        <v>75</v>
      </c>
      <c r="C22" t="s">
        <v>152</v>
      </c>
      <c r="D22" t="s">
        <v>151</v>
      </c>
      <c r="E22">
        <v>11162134</v>
      </c>
      <c r="F22">
        <v>1290</v>
      </c>
      <c r="G22" t="s">
        <v>36</v>
      </c>
      <c r="H22" t="s">
        <v>13</v>
      </c>
      <c r="I22" t="s">
        <v>14</v>
      </c>
      <c r="J22" t="s">
        <v>192</v>
      </c>
    </row>
    <row r="23" spans="1:10" x14ac:dyDescent="0.25">
      <c r="A23">
        <v>123456801</v>
      </c>
      <c r="B23" t="s">
        <v>92</v>
      </c>
      <c r="C23" t="s">
        <v>61</v>
      </c>
      <c r="D23" t="s">
        <v>153</v>
      </c>
      <c r="E23">
        <v>11348242</v>
      </c>
      <c r="F23">
        <v>1290</v>
      </c>
      <c r="G23" t="s">
        <v>37</v>
      </c>
      <c r="H23" t="s">
        <v>13</v>
      </c>
      <c r="I23" t="s">
        <v>14</v>
      </c>
      <c r="J23" t="s">
        <v>192</v>
      </c>
    </row>
    <row r="24" spans="1:10" x14ac:dyDescent="0.25">
      <c r="A24">
        <v>123456802</v>
      </c>
      <c r="B24" t="s">
        <v>85</v>
      </c>
      <c r="C24" t="s">
        <v>53</v>
      </c>
      <c r="D24" t="s">
        <v>154</v>
      </c>
      <c r="E24">
        <v>11038295</v>
      </c>
      <c r="F24">
        <v>1290</v>
      </c>
      <c r="G24" t="s">
        <v>38</v>
      </c>
      <c r="H24" t="s">
        <v>13</v>
      </c>
      <c r="I24" t="s">
        <v>14</v>
      </c>
      <c r="J24" t="s">
        <v>192</v>
      </c>
    </row>
    <row r="25" spans="1:10" x14ac:dyDescent="0.25">
      <c r="A25">
        <v>123456803</v>
      </c>
      <c r="B25" t="s">
        <v>69</v>
      </c>
      <c r="C25" t="s">
        <v>156</v>
      </c>
      <c r="D25" t="s">
        <v>155</v>
      </c>
      <c r="E25">
        <v>11867118</v>
      </c>
      <c r="F25">
        <v>1290</v>
      </c>
      <c r="G25" t="s">
        <v>40</v>
      </c>
      <c r="H25" t="s">
        <v>13</v>
      </c>
      <c r="I25" t="s">
        <v>14</v>
      </c>
      <c r="J25" t="s">
        <v>192</v>
      </c>
    </row>
    <row r="26" spans="1:10" x14ac:dyDescent="0.25">
      <c r="A26">
        <v>123456804</v>
      </c>
      <c r="B26" t="s">
        <v>98</v>
      </c>
      <c r="C26" t="s">
        <v>158</v>
      </c>
      <c r="D26" t="s">
        <v>157</v>
      </c>
      <c r="E26">
        <v>12399329</v>
      </c>
      <c r="F26">
        <v>1057</v>
      </c>
      <c r="G26" t="s">
        <v>41</v>
      </c>
      <c r="H26" t="s">
        <v>13</v>
      </c>
      <c r="I26" t="s">
        <v>14</v>
      </c>
      <c r="J26" t="s">
        <v>192</v>
      </c>
    </row>
    <row r="27" spans="1:10" x14ac:dyDescent="0.25">
      <c r="A27">
        <v>123456805</v>
      </c>
      <c r="B27" t="s">
        <v>78</v>
      </c>
      <c r="C27" t="s">
        <v>160</v>
      </c>
      <c r="D27" t="s">
        <v>159</v>
      </c>
      <c r="E27">
        <v>12389358</v>
      </c>
      <c r="F27">
        <v>1290</v>
      </c>
      <c r="G27" t="s">
        <v>41</v>
      </c>
      <c r="H27" t="s">
        <v>13</v>
      </c>
      <c r="I27" t="s">
        <v>14</v>
      </c>
      <c r="J27" t="s">
        <v>192</v>
      </c>
    </row>
    <row r="28" spans="1:10" x14ac:dyDescent="0.25">
      <c r="A28">
        <v>123456806</v>
      </c>
      <c r="B28" t="s">
        <v>77</v>
      </c>
      <c r="C28" t="s">
        <v>162</v>
      </c>
      <c r="D28" t="s">
        <v>161</v>
      </c>
      <c r="E28">
        <v>11152711</v>
      </c>
      <c r="F28">
        <v>1290</v>
      </c>
      <c r="G28" t="s">
        <v>26</v>
      </c>
      <c r="H28" t="s">
        <v>13</v>
      </c>
      <c r="I28" t="s">
        <v>14</v>
      </c>
      <c r="J28" t="s">
        <v>192</v>
      </c>
    </row>
    <row r="29" spans="1:10" x14ac:dyDescent="0.25">
      <c r="A29">
        <v>123456807</v>
      </c>
      <c r="B29" t="s">
        <v>68</v>
      </c>
      <c r="C29" t="s">
        <v>164</v>
      </c>
      <c r="D29" t="s">
        <v>163</v>
      </c>
      <c r="E29">
        <v>11336373</v>
      </c>
      <c r="F29">
        <v>1290</v>
      </c>
      <c r="G29" t="s">
        <v>43</v>
      </c>
      <c r="H29" t="s">
        <v>13</v>
      </c>
      <c r="I29" t="s">
        <v>14</v>
      </c>
      <c r="J29" t="s">
        <v>192</v>
      </c>
    </row>
    <row r="30" spans="1:10" x14ac:dyDescent="0.25">
      <c r="A30">
        <v>123456808</v>
      </c>
      <c r="B30" t="s">
        <v>90</v>
      </c>
      <c r="C30" t="s">
        <v>60</v>
      </c>
      <c r="D30" t="s">
        <v>165</v>
      </c>
      <c r="E30">
        <v>12430981</v>
      </c>
      <c r="F30">
        <v>1290</v>
      </c>
      <c r="G30" t="s">
        <v>44</v>
      </c>
      <c r="H30" t="s">
        <v>13</v>
      </c>
      <c r="I30" t="s">
        <v>14</v>
      </c>
      <c r="J30" t="s">
        <v>192</v>
      </c>
    </row>
    <row r="31" spans="1:10" x14ac:dyDescent="0.25">
      <c r="A31">
        <v>123456809</v>
      </c>
      <c r="B31" t="s">
        <v>67</v>
      </c>
      <c r="C31" t="s">
        <v>167</v>
      </c>
      <c r="D31" t="s">
        <v>166</v>
      </c>
      <c r="E31">
        <v>13139969</v>
      </c>
      <c r="F31">
        <v>1290</v>
      </c>
      <c r="G31" t="s">
        <v>17</v>
      </c>
      <c r="H31" t="s">
        <v>13</v>
      </c>
      <c r="I31" t="s">
        <v>14</v>
      </c>
      <c r="J31" t="s">
        <v>192</v>
      </c>
    </row>
    <row r="32" spans="1:10" x14ac:dyDescent="0.25">
      <c r="A32">
        <v>123456810</v>
      </c>
      <c r="B32" t="s">
        <v>97</v>
      </c>
      <c r="C32" t="s">
        <v>25</v>
      </c>
      <c r="D32" t="s">
        <v>168</v>
      </c>
      <c r="E32">
        <v>65348</v>
      </c>
      <c r="F32">
        <v>1290</v>
      </c>
      <c r="G32" t="s">
        <v>45</v>
      </c>
      <c r="H32" t="s">
        <v>13</v>
      </c>
      <c r="I32" t="s">
        <v>14</v>
      </c>
      <c r="J32" t="s">
        <v>192</v>
      </c>
    </row>
    <row r="33" spans="1:10" x14ac:dyDescent="0.25">
      <c r="A33">
        <v>123456811</v>
      </c>
      <c r="B33" t="s">
        <v>71</v>
      </c>
      <c r="C33" t="s">
        <v>170</v>
      </c>
      <c r="D33" t="s">
        <v>169</v>
      </c>
      <c r="E33">
        <v>268459</v>
      </c>
      <c r="F33">
        <v>1290</v>
      </c>
      <c r="G33" t="s">
        <v>46</v>
      </c>
      <c r="H33" t="s">
        <v>13</v>
      </c>
      <c r="I33" t="s">
        <v>14</v>
      </c>
      <c r="J33" t="s">
        <v>192</v>
      </c>
    </row>
    <row r="34" spans="1:10" x14ac:dyDescent="0.25">
      <c r="A34">
        <v>123456812</v>
      </c>
      <c r="B34" t="s">
        <v>66</v>
      </c>
      <c r="C34" t="s">
        <v>172</v>
      </c>
      <c r="D34" t="s">
        <v>171</v>
      </c>
      <c r="E34">
        <v>11093891</v>
      </c>
      <c r="F34">
        <v>1290</v>
      </c>
      <c r="G34" t="s">
        <v>47</v>
      </c>
      <c r="H34" t="s">
        <v>13</v>
      </c>
      <c r="I34" t="s">
        <v>14</v>
      </c>
      <c r="J34" t="s">
        <v>191</v>
      </c>
    </row>
    <row r="35" spans="1:10" x14ac:dyDescent="0.25">
      <c r="A35">
        <v>123456813</v>
      </c>
      <c r="B35" t="s">
        <v>74</v>
      </c>
      <c r="C35" t="s">
        <v>65</v>
      </c>
      <c r="D35" t="s">
        <v>173</v>
      </c>
      <c r="E35">
        <v>359228</v>
      </c>
      <c r="F35">
        <v>1290</v>
      </c>
      <c r="G35" t="s">
        <v>48</v>
      </c>
      <c r="H35" t="s">
        <v>13</v>
      </c>
      <c r="I35" t="s">
        <v>14</v>
      </c>
      <c r="J35" t="s">
        <v>191</v>
      </c>
    </row>
    <row r="36" spans="1:10" x14ac:dyDescent="0.25">
      <c r="A36">
        <v>123456814</v>
      </c>
      <c r="B36" t="s">
        <v>52</v>
      </c>
      <c r="C36" t="s">
        <v>175</v>
      </c>
      <c r="D36" t="s">
        <v>174</v>
      </c>
      <c r="E36">
        <v>12180716</v>
      </c>
      <c r="F36">
        <v>1290</v>
      </c>
      <c r="G36" t="s">
        <v>49</v>
      </c>
      <c r="H36" t="s">
        <v>13</v>
      </c>
      <c r="I36" t="s">
        <v>14</v>
      </c>
      <c r="J36" t="s">
        <v>191</v>
      </c>
    </row>
    <row r="37" spans="1:10" x14ac:dyDescent="0.25">
      <c r="A37">
        <v>123456815</v>
      </c>
      <c r="B37" t="s">
        <v>89</v>
      </c>
      <c r="C37" t="s">
        <v>22</v>
      </c>
      <c r="D37" t="s">
        <v>176</v>
      </c>
      <c r="E37">
        <v>62833</v>
      </c>
      <c r="F37">
        <v>1290</v>
      </c>
      <c r="G37" t="s">
        <v>51</v>
      </c>
      <c r="H37" t="s">
        <v>13</v>
      </c>
      <c r="I37" t="s">
        <v>14</v>
      </c>
      <c r="J37" t="s">
        <v>191</v>
      </c>
    </row>
    <row r="38" spans="1:10" x14ac:dyDescent="0.25">
      <c r="A38">
        <v>123456816</v>
      </c>
      <c r="B38" t="s">
        <v>76</v>
      </c>
      <c r="C38" t="s">
        <v>62</v>
      </c>
      <c r="D38" t="s">
        <v>177</v>
      </c>
      <c r="E38">
        <v>134746</v>
      </c>
      <c r="F38">
        <v>1290</v>
      </c>
      <c r="G38" t="s">
        <v>36</v>
      </c>
      <c r="H38" t="s">
        <v>13</v>
      </c>
      <c r="I38" t="s">
        <v>14</v>
      </c>
      <c r="J38" t="s">
        <v>191</v>
      </c>
    </row>
    <row r="39" spans="1:10" x14ac:dyDescent="0.25">
      <c r="A39">
        <v>123456817</v>
      </c>
      <c r="B39" t="s">
        <v>89</v>
      </c>
      <c r="C39" t="s">
        <v>179</v>
      </c>
      <c r="D39" t="s">
        <v>178</v>
      </c>
      <c r="E39">
        <v>11899760</v>
      </c>
      <c r="F39">
        <v>1290</v>
      </c>
      <c r="G39" t="s">
        <v>54</v>
      </c>
      <c r="H39" t="s">
        <v>13</v>
      </c>
      <c r="I39" t="s">
        <v>14</v>
      </c>
      <c r="J39" t="s">
        <v>191</v>
      </c>
    </row>
    <row r="40" spans="1:10" x14ac:dyDescent="0.25">
      <c r="A40">
        <v>123456818</v>
      </c>
      <c r="B40" t="s">
        <v>96</v>
      </c>
      <c r="C40" t="s">
        <v>50</v>
      </c>
      <c r="D40" t="s">
        <v>180</v>
      </c>
      <c r="E40">
        <v>11179521</v>
      </c>
      <c r="F40">
        <v>1290</v>
      </c>
      <c r="G40" t="s">
        <v>36</v>
      </c>
      <c r="H40" t="s">
        <v>13</v>
      </c>
      <c r="I40" t="s">
        <v>14</v>
      </c>
      <c r="J40" t="s">
        <v>191</v>
      </c>
    </row>
    <row r="41" spans="1:10" x14ac:dyDescent="0.25">
      <c r="A41">
        <v>123456819</v>
      </c>
      <c r="B41" t="s">
        <v>79</v>
      </c>
      <c r="C41" t="s">
        <v>182</v>
      </c>
      <c r="D41" t="s">
        <v>181</v>
      </c>
      <c r="E41">
        <v>11257335</v>
      </c>
      <c r="F41">
        <v>1290</v>
      </c>
      <c r="G41" t="s">
        <v>55</v>
      </c>
      <c r="H41" t="s">
        <v>13</v>
      </c>
      <c r="I41" t="s">
        <v>14</v>
      </c>
      <c r="J41" t="s">
        <v>191</v>
      </c>
    </row>
    <row r="42" spans="1:10" x14ac:dyDescent="0.25">
      <c r="A42">
        <v>123456820</v>
      </c>
      <c r="B42" t="s">
        <v>100</v>
      </c>
      <c r="C42" t="s">
        <v>184</v>
      </c>
      <c r="D42" t="s">
        <v>183</v>
      </c>
      <c r="E42">
        <v>12160533</v>
      </c>
      <c r="F42">
        <v>1236</v>
      </c>
      <c r="G42" t="s">
        <v>56</v>
      </c>
      <c r="H42" t="s">
        <v>13</v>
      </c>
      <c r="I42" t="s">
        <v>14</v>
      </c>
      <c r="J42" t="s">
        <v>191</v>
      </c>
    </row>
    <row r="43" spans="1:10" x14ac:dyDescent="0.25">
      <c r="A43">
        <v>123456821</v>
      </c>
      <c r="B43" t="s">
        <v>87</v>
      </c>
      <c r="C43" t="s">
        <v>186</v>
      </c>
      <c r="D43" t="s">
        <v>185</v>
      </c>
      <c r="E43">
        <v>12317092</v>
      </c>
      <c r="F43">
        <v>1290</v>
      </c>
      <c r="G43" t="s">
        <v>58</v>
      </c>
      <c r="H43" t="s">
        <v>13</v>
      </c>
      <c r="I43" t="s">
        <v>14</v>
      </c>
      <c r="J43" t="s">
        <v>191</v>
      </c>
    </row>
    <row r="44" spans="1:10" x14ac:dyDescent="0.25">
      <c r="A44">
        <v>123456822</v>
      </c>
      <c r="B44" t="s">
        <v>80</v>
      </c>
      <c r="C44" t="s">
        <v>188</v>
      </c>
      <c r="D44" t="s">
        <v>187</v>
      </c>
      <c r="E44">
        <v>11693288</v>
      </c>
      <c r="F44">
        <v>1290</v>
      </c>
      <c r="G44" t="s">
        <v>59</v>
      </c>
      <c r="H44" t="s">
        <v>13</v>
      </c>
      <c r="I44" t="s">
        <v>14</v>
      </c>
      <c r="J44" t="s">
        <v>191</v>
      </c>
    </row>
    <row r="45" spans="1:10" x14ac:dyDescent="0.25">
      <c r="A45">
        <v>123456823</v>
      </c>
      <c r="B45" t="s">
        <v>69</v>
      </c>
      <c r="C45" t="s">
        <v>63</v>
      </c>
      <c r="D45" t="s">
        <v>189</v>
      </c>
      <c r="E45">
        <v>12362568</v>
      </c>
      <c r="F45">
        <v>1290</v>
      </c>
      <c r="G45" t="s">
        <v>58</v>
      </c>
      <c r="H45" t="s">
        <v>13</v>
      </c>
      <c r="I45" t="s">
        <v>14</v>
      </c>
      <c r="J45" t="s">
        <v>191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Bonus1"/>
  <dimension ref="A1"/>
  <sheetViews>
    <sheetView showGridLines="0" workbookViewId="0">
      <selection activeCell="B1" sqref="B1"/>
    </sheetView>
  </sheetViews>
  <sheetFormatPr defaultRowHeight="15" x14ac:dyDescent="0.25"/>
  <cols>
    <col min="1" max="1" width="139.85546875" customWidth="1"/>
  </cols>
  <sheetData>
    <row r="1" spans="1:1" ht="321" customHeight="1" x14ac:dyDescent="0.25">
      <c r="A1" s="4" t="s">
        <v>112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Bonus2"/>
  <dimension ref="A1"/>
  <sheetViews>
    <sheetView showGridLines="0" workbookViewId="0"/>
  </sheetViews>
  <sheetFormatPr defaultRowHeight="15" x14ac:dyDescent="0.25"/>
  <cols>
    <col min="1" max="1" width="139.85546875" customWidth="1"/>
  </cols>
  <sheetData>
    <row r="1" spans="1:1" ht="321" customHeight="1" x14ac:dyDescent="0.25">
      <c r="A1" s="4" t="s">
        <v>113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Instructions</vt:lpstr>
      <vt:lpstr>pivot</vt:lpstr>
      <vt:lpstr>Case Study</vt:lpstr>
      <vt:lpstr>Roster</vt:lpstr>
      <vt:lpstr>Bonus 1</vt:lpstr>
    </vt:vector>
  </TitlesOfParts>
  <Company>Amazon Corporate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Simmons, Kevin</dc:creator>
  <cp:lastModifiedBy>USER</cp:lastModifiedBy>
  <dcterms:created xsi:type="dcterms:W3CDTF">2020-05-14T15:05:40Z</dcterms:created>
  <dcterms:modified xsi:type="dcterms:W3CDTF">2021-09-17T21:34:18Z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376df5ab-f14a-4f01-a0b8-9ab840425c6d</vt:lpwstr>
  </property>
</Properties>
</file>